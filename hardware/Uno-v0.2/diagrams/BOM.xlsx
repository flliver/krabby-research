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  <extLst>
    <ext uri="GoogleSheetsCustomDataVersion2">
      <go:sheetsCustomData xmlns:go="http://customooxmlschemas.google.com/" r:id="rId5" roundtripDataChecksum="vkbVJON9oQ56XajAuhT23fCn8UOen9c7QpvQzBrmJpA="/>
    </ext>
  </extLst>
</workbook>
</file>

<file path=xl/sharedStrings.xml><?xml version="1.0" encoding="utf-8"?>
<sst xmlns="http://schemas.openxmlformats.org/spreadsheetml/2006/main" count="134" uniqueCount="86">
  <si>
    <t>Disclaimer: Unit prices are planning estimates (Apr 2026) — typical retail, distributor singles, or rough PCB/filament guesses. Replace with quotes before buying.</t>
  </si>
  <si>
    <t>Category</t>
  </si>
  <si>
    <t>Description</t>
  </si>
  <si>
    <t>Qty</t>
  </si>
  <si>
    <t>Unit</t>
  </si>
  <si>
    <t>Unit price (USD)</t>
  </si>
  <si>
    <t>Extended (USD)</t>
  </si>
  <si>
    <t>Notes</t>
  </si>
  <si>
    <t>Source / URL</t>
  </si>
  <si>
    <t>Leg — structure</t>
  </si>
  <si>
    <t>Tibia / femur / hip lumber &amp; plywood (6 legs, est. material)</t>
  </si>
  <si>
    <t>4x8 sheet</t>
  </si>
  <si>
    <t>Not sure how much of a sheet is needed, need to layout</t>
  </si>
  <si>
    <t>Motors</t>
  </si>
  <si>
    <t>24 V linear actuator w/ pot feedback (per leg ×3)</t>
  </si>
  <si>
    <t>ea</t>
  </si>
  <si>
    <t>Alibaba-style unit price; verify MOQ + shipping</t>
  </si>
  <si>
    <t>Brushed 60 W motor + spur gear path (hip yaw, per leg ×1)</t>
  </si>
  <si>
    <t>TBD, zeroed price since it replaces linear actuator</t>
  </si>
  <si>
    <t>Spur gear sets + hardware (hip yaw)</t>
  </si>
  <si>
    <t>set</t>
  </si>
  <si>
    <t>Fasteners</t>
  </si>
  <si>
    <t>4" door hinges (from 10-pack)</t>
  </si>
  <si>
    <t>Prorated from ~$25/10 Home Depot pack</t>
  </si>
  <si>
    <t>https://www.homedepot.com/p/Design-House-4-in-Square-Corner-Satin-Nickel-Door-Hinge-Value-Pack-10-per-Pack-181669/302034830</t>
  </si>
  <si>
    <t>Knee/hip joint: 6201 bearings, shoulder bolts, spacers, Belleville, nuts (kit)</t>
  </si>
  <si>
    <t>Design-dependent; rough kit estimate</t>
  </si>
  <si>
    <t>1/2" HPDE 4" disc</t>
  </si>
  <si>
    <t>$230/sheet, 4140 4" discs/sheet</t>
  </si>
  <si>
    <t>Wiring</t>
  </si>
  <si>
    <t>JST XA 4-pos housing XAP-04V-1</t>
  </si>
  <si>
    <t>DigiKey/Mouser singles pricing ballpark</t>
  </si>
  <si>
    <t>https://www.mouser.com/ProductDetail/JST-Commercial/XAP-04V-1</t>
  </si>
  <si>
    <t>JST XA contact SXA-001T-P0.6</t>
  </si>
  <si>
    <t>Use reel qty for real builds</t>
  </si>
  <si>
    <t>https://www.mouser.com/ProductDetail/JST-Commercial/SXA-001T-P0.6</t>
  </si>
  <si>
    <t>Molex Micro-Fit 2-pin housing 43025-0200</t>
  </si>
  <si>
    <t>https://www.mouser.com/ProductDetail/Molex/43025-0200</t>
  </si>
  <si>
    <t>Molex Micro-Fit terminal 43030-0001 (×2)</t>
  </si>
  <si>
    <t>Molex Mega-Fit 2-pin housing 170001-0102</t>
  </si>
  <si>
    <t>https://www.mouser.com/ProductDetail/Molex/170001-0102</t>
  </si>
  <si>
    <t>Molex Mega-Fit terminal 76823-0322 (×2)</t>
  </si>
  <si>
    <t>https://www.mouser.com/ProductDetail/Molex/76823-0322-Cut-Strip</t>
  </si>
  <si>
    <t>3ft DB-25 cable</t>
  </si>
  <si>
    <t>Cage</t>
  </si>
  <si>
    <t>Plywood / panels / diagonal &amp; lateral braces (bundle)</t>
  </si>
  <si>
    <t>lot</t>
  </si>
  <si>
    <t>1/2 of 4x8 sheet</t>
  </si>
  <si>
    <t>Wood screws (#8/#10 mix per BOM)</t>
  </si>
  <si>
    <t>Box assortments</t>
  </si>
  <si>
    <t>Lid hinge + latch + support (TBD)</t>
  </si>
  <si>
    <t>Mechanism not specified</t>
  </si>
  <si>
    <t>Power</t>
  </si>
  <si>
    <t>12 V 100 Ah LiFePO₄ battery</t>
  </si>
  <si>
    <t>Typical Amazon-tier 100 Ah; ASIN may vary</t>
  </si>
  <si>
    <t>https://www.amazon.com/dp/B0DGT9YR7D</t>
  </si>
  <si>
    <t>150 A distribution block 6×1/4" posts</t>
  </si>
  <si>
    <t>https://www.amazon.com/maierke-Distribution-Automotive-Terminal-Terminals/dp/B0D3PMJ412</t>
  </si>
  <si>
    <t>10 AWG tinned marine duplex (~6 ft)</t>
  </si>
  <si>
    <t>$/ln.ft.</t>
  </si>
  <si>
    <t>https://www.amazon.com/dp/B0D796TF4Z</t>
  </si>
  <si>
    <t>10 AWG 1/4" ring terminals</t>
  </si>
  <si>
    <t>Assortment prorated</t>
  </si>
  <si>
    <t>https://www.amazon.com/DTLDZSC-Electric-12-10Awg-1-Terminals-Connectors/dp/B0CYWSM78V</t>
  </si>
  <si>
    <t>2 AWG battery wire (~8 ft total)</t>
  </si>
  <si>
    <t>Red + black bundle estimate</t>
  </si>
  <si>
    <t>https://www.amazon.com/Gauge-Battery-Power-Cable-Black/dp/B0CQN62NQP</t>
  </si>
  <si>
    <t>2 AWG 1/4" lugs</t>
  </si>
  <si>
    <t>Kit prorated</t>
  </si>
  <si>
    <t>https://www.amazon.com/AWG-Battery-Terminal-Connectors-Assortment/dp/B092ZMZPC9</t>
  </si>
  <si>
    <t>150 A inline circuit breaker</t>
  </si>
  <si>
    <t>https://www.amazon.com/Nilight-Resettable-Overload-Protection-Amplifier/dp/B0CFY6J6DW</t>
  </si>
  <si>
    <t>Controller</t>
  </si>
  <si>
    <t>ATmega2560 (Mega clone)</t>
  </si>
  <si>
    <t>CH340G-class</t>
  </si>
  <si>
    <t>https://www.alibaba.com/product-detail/High-Quality-MEGA2560-R3-CH340G-Open_62260090293.html</t>
  </si>
  <si>
    <t>Krabby-Uno Mega routing shield (PCB fab)</t>
  </si>
  <si>
    <t>JLCPCB-style 2-layer estimate</t>
  </si>
  <si>
    <t>Can get this price down printing full controller board instead of shield</t>
  </si>
  <si>
    <t>3D-printed case — Mega + shield</t>
  </si>
  <si>
    <t>Filament + time placeholder</t>
  </si>
  <si>
    <t>Krabby-Uno H-bridge power board (PCB + parts)</t>
  </si>
  <si>
    <t>Custom design — rough BOM+fab</t>
  </si>
  <si>
    <t>Using H-Bridge modules is only ~$2/module, so need to get this price down</t>
  </si>
  <si>
    <t>3D-printed case — H-bridge</t>
  </si>
  <si>
    <t>Total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</si>
</sst>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##"/>
    <numFmt numFmtId="165" formatCode="$#,##0.00"/>
  </numFmts>
  <fonts count="5">
    <font>
      <sz val="11.0"/>
      <color theme="1"/>
      <name val="Calibri"/>
      <scheme val="minor"/>
    </font>
    <font>
      <i/>
      <sz val="10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165" xfId="0" applyAlignment="1" applyFont="1" applyNumberFormat="1">
      <alignment readingOrder="0" shrinkToFit="0" vertical="top" wrapText="1"/>
    </xf>
    <xf borderId="0" fillId="0" fontId="3" numFmtId="165" xfId="0" applyAlignment="1" applyFont="1" applyNumberFormat="1">
      <alignment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1" fillId="3" fontId="4" numFmtId="165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2.0"/>
    <col customWidth="1" min="3" max="4" width="8.0"/>
    <col customWidth="1" min="5" max="5" width="18.0"/>
    <col customWidth="1" min="6" max="6" width="16.0"/>
    <col customWidth="1" min="7" max="7" width="40.0"/>
    <col customWidth="1" min="8" max="8" width="36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4">
        <v>1.0</v>
      </c>
      <c r="D3" s="5" t="s">
        <v>11</v>
      </c>
      <c r="E3" s="6">
        <v>32.0</v>
      </c>
      <c r="F3" s="7">
        <f t="shared" ref="F3:F4" si="1">E3*C3</f>
        <v>32</v>
      </c>
      <c r="G3" s="5" t="s">
        <v>12</v>
      </c>
      <c r="H3" s="3"/>
    </row>
    <row r="4">
      <c r="A4" s="3" t="s">
        <v>13</v>
      </c>
      <c r="B4" s="3" t="s">
        <v>14</v>
      </c>
      <c r="C4" s="4">
        <v>18.0</v>
      </c>
      <c r="D4" s="3" t="s">
        <v>15</v>
      </c>
      <c r="E4" s="6">
        <v>45.0</v>
      </c>
      <c r="F4" s="7">
        <f t="shared" si="1"/>
        <v>810</v>
      </c>
      <c r="G4" s="3" t="s">
        <v>16</v>
      </c>
      <c r="H4" s="3"/>
    </row>
    <row r="5">
      <c r="A5" s="3" t="s">
        <v>13</v>
      </c>
      <c r="B5" s="3" t="s">
        <v>17</v>
      </c>
      <c r="C5" s="4">
        <v>6.0</v>
      </c>
      <c r="D5" s="3" t="s">
        <v>15</v>
      </c>
      <c r="E5" s="7">
        <v>45.0</v>
      </c>
      <c r="F5" s="6">
        <v>0.0</v>
      </c>
      <c r="G5" s="5" t="s">
        <v>18</v>
      </c>
      <c r="H5" s="3"/>
    </row>
    <row r="6">
      <c r="A6" s="3" t="s">
        <v>13</v>
      </c>
      <c r="B6" s="3" t="s">
        <v>19</v>
      </c>
      <c r="C6" s="4">
        <v>6.0</v>
      </c>
      <c r="D6" s="5" t="s">
        <v>20</v>
      </c>
      <c r="E6" s="6">
        <v>12.0</v>
      </c>
      <c r="F6" s="6">
        <v>0.0</v>
      </c>
      <c r="G6" s="5" t="s">
        <v>18</v>
      </c>
      <c r="H6" s="3"/>
    </row>
    <row r="7">
      <c r="A7" s="3" t="s">
        <v>21</v>
      </c>
      <c r="B7" s="3" t="s">
        <v>22</v>
      </c>
      <c r="C7" s="4">
        <f>2*6</f>
        <v>12</v>
      </c>
      <c r="D7" s="3" t="s">
        <v>15</v>
      </c>
      <c r="E7" s="7">
        <v>2.5</v>
      </c>
      <c r="F7" s="7">
        <f t="shared" ref="F7:F31" si="2">E7*C7</f>
        <v>30</v>
      </c>
      <c r="G7" s="3" t="s">
        <v>23</v>
      </c>
      <c r="H7" s="3" t="s">
        <v>24</v>
      </c>
    </row>
    <row r="8">
      <c r="A8" s="3" t="s">
        <v>21</v>
      </c>
      <c r="B8" s="3" t="s">
        <v>25</v>
      </c>
      <c r="C8" s="8">
        <v>12.0</v>
      </c>
      <c r="D8" s="5" t="s">
        <v>20</v>
      </c>
      <c r="E8" s="6">
        <v>15.0</v>
      </c>
      <c r="F8" s="7">
        <f t="shared" si="2"/>
        <v>180</v>
      </c>
      <c r="G8" s="3" t="s">
        <v>26</v>
      </c>
      <c r="H8" s="3"/>
    </row>
    <row r="9">
      <c r="A9" s="5" t="s">
        <v>21</v>
      </c>
      <c r="B9" s="5" t="s">
        <v>27</v>
      </c>
      <c r="C9" s="8">
        <f>2*12</f>
        <v>24</v>
      </c>
      <c r="D9" s="5" t="s">
        <v>15</v>
      </c>
      <c r="E9" s="6">
        <v>1.0</v>
      </c>
      <c r="F9" s="7">
        <f t="shared" si="2"/>
        <v>24</v>
      </c>
      <c r="G9" s="5" t="s">
        <v>28</v>
      </c>
      <c r="H9" s="3"/>
    </row>
    <row r="10">
      <c r="A10" s="3" t="s">
        <v>29</v>
      </c>
      <c r="B10" s="3" t="s">
        <v>30</v>
      </c>
      <c r="C10" s="8">
        <v>18.0</v>
      </c>
      <c r="D10" s="3" t="s">
        <v>15</v>
      </c>
      <c r="E10" s="7">
        <v>0.08</v>
      </c>
      <c r="F10" s="7">
        <f t="shared" si="2"/>
        <v>1.44</v>
      </c>
      <c r="G10" s="3" t="s">
        <v>31</v>
      </c>
      <c r="H10" s="3" t="s">
        <v>32</v>
      </c>
    </row>
    <row r="11">
      <c r="A11" s="3" t="s">
        <v>29</v>
      </c>
      <c r="B11" s="3" t="s">
        <v>33</v>
      </c>
      <c r="C11" s="4">
        <f>18*4</f>
        <v>72</v>
      </c>
      <c r="D11" s="3" t="s">
        <v>15</v>
      </c>
      <c r="E11" s="7">
        <v>0.12</v>
      </c>
      <c r="F11" s="7">
        <f t="shared" si="2"/>
        <v>8.64</v>
      </c>
      <c r="G11" s="3" t="s">
        <v>34</v>
      </c>
      <c r="H11" s="3" t="s">
        <v>35</v>
      </c>
    </row>
    <row r="12">
      <c r="A12" s="3" t="s">
        <v>29</v>
      </c>
      <c r="B12" s="3" t="s">
        <v>36</v>
      </c>
      <c r="C12" s="4">
        <f>18</f>
        <v>18</v>
      </c>
      <c r="D12" s="3" t="s">
        <v>15</v>
      </c>
      <c r="E12" s="7">
        <v>0.55</v>
      </c>
      <c r="F12" s="7">
        <f t="shared" si="2"/>
        <v>9.9</v>
      </c>
      <c r="G12" s="3"/>
      <c r="H12" s="3" t="s">
        <v>37</v>
      </c>
    </row>
    <row r="13">
      <c r="A13" s="3" t="s">
        <v>29</v>
      </c>
      <c r="B13" s="3" t="s">
        <v>38</v>
      </c>
      <c r="C13" s="4">
        <f>18*2</f>
        <v>36</v>
      </c>
      <c r="D13" s="3" t="s">
        <v>15</v>
      </c>
      <c r="E13" s="7">
        <v>0.18</v>
      </c>
      <c r="F13" s="7">
        <f t="shared" si="2"/>
        <v>6.48</v>
      </c>
      <c r="G13" s="3"/>
      <c r="H13" s="3"/>
    </row>
    <row r="14">
      <c r="A14" s="3" t="s">
        <v>29</v>
      </c>
      <c r="B14" s="3" t="s">
        <v>39</v>
      </c>
      <c r="C14" s="4">
        <f>1*6</f>
        <v>6</v>
      </c>
      <c r="D14" s="3" t="s">
        <v>15</v>
      </c>
      <c r="E14" s="7">
        <v>1.4</v>
      </c>
      <c r="F14" s="7">
        <f t="shared" si="2"/>
        <v>8.4</v>
      </c>
      <c r="G14" s="3"/>
      <c r="H14" s="3" t="s">
        <v>40</v>
      </c>
    </row>
    <row r="15">
      <c r="A15" s="3" t="s">
        <v>29</v>
      </c>
      <c r="B15" s="3" t="s">
        <v>41</v>
      </c>
      <c r="C15" s="4">
        <f>6*2</f>
        <v>12</v>
      </c>
      <c r="D15" s="3" t="s">
        <v>15</v>
      </c>
      <c r="E15" s="7">
        <v>0.85</v>
      </c>
      <c r="F15" s="7">
        <f t="shared" si="2"/>
        <v>10.2</v>
      </c>
      <c r="G15" s="3"/>
      <c r="H15" s="3" t="s">
        <v>42</v>
      </c>
    </row>
    <row r="16">
      <c r="A16" s="5" t="s">
        <v>29</v>
      </c>
      <c r="B16" s="5" t="s">
        <v>43</v>
      </c>
      <c r="C16" s="8">
        <v>12.0</v>
      </c>
      <c r="D16" s="5" t="s">
        <v>15</v>
      </c>
      <c r="E16" s="6">
        <v>7.0</v>
      </c>
      <c r="F16" s="7">
        <f t="shared" si="2"/>
        <v>84</v>
      </c>
      <c r="G16" s="5"/>
      <c r="H16" s="3"/>
    </row>
    <row r="17">
      <c r="A17" s="3" t="s">
        <v>44</v>
      </c>
      <c r="B17" s="3" t="s">
        <v>45</v>
      </c>
      <c r="C17" s="4">
        <v>1.0</v>
      </c>
      <c r="D17" s="3" t="s">
        <v>46</v>
      </c>
      <c r="E17" s="6">
        <v>10.0</v>
      </c>
      <c r="F17" s="7">
        <f t="shared" si="2"/>
        <v>10</v>
      </c>
      <c r="G17" s="5" t="s">
        <v>47</v>
      </c>
      <c r="H17" s="3"/>
    </row>
    <row r="18">
      <c r="A18" s="3" t="s">
        <v>44</v>
      </c>
      <c r="B18" s="3" t="s">
        <v>48</v>
      </c>
      <c r="C18" s="4">
        <v>1.0</v>
      </c>
      <c r="D18" s="3" t="s">
        <v>46</v>
      </c>
      <c r="E18" s="7">
        <v>22.0</v>
      </c>
      <c r="F18" s="7">
        <f t="shared" si="2"/>
        <v>22</v>
      </c>
      <c r="G18" s="3" t="s">
        <v>49</v>
      </c>
      <c r="H18" s="3"/>
    </row>
    <row r="19">
      <c r="A19" s="3" t="s">
        <v>44</v>
      </c>
      <c r="B19" s="3" t="s">
        <v>50</v>
      </c>
      <c r="C19" s="4">
        <v>1.0</v>
      </c>
      <c r="D19" s="3" t="s">
        <v>46</v>
      </c>
      <c r="E19" s="6">
        <v>20.0</v>
      </c>
      <c r="F19" s="7">
        <f t="shared" si="2"/>
        <v>20</v>
      </c>
      <c r="G19" s="3" t="s">
        <v>51</v>
      </c>
      <c r="H19" s="3"/>
    </row>
    <row r="20">
      <c r="A20" s="3" t="s">
        <v>52</v>
      </c>
      <c r="B20" s="3" t="s">
        <v>53</v>
      </c>
      <c r="C20" s="4">
        <v>2.0</v>
      </c>
      <c r="D20" s="3" t="s">
        <v>15</v>
      </c>
      <c r="E20" s="6">
        <v>136.0</v>
      </c>
      <c r="F20" s="7">
        <f t="shared" si="2"/>
        <v>272</v>
      </c>
      <c r="G20" s="3" t="s">
        <v>54</v>
      </c>
      <c r="H20" s="3" t="s">
        <v>55</v>
      </c>
    </row>
    <row r="21">
      <c r="A21" s="3" t="s">
        <v>52</v>
      </c>
      <c r="B21" s="3" t="s">
        <v>56</v>
      </c>
      <c r="C21" s="4">
        <v>1.0</v>
      </c>
      <c r="D21" s="3" t="s">
        <v>15</v>
      </c>
      <c r="E21" s="6">
        <v>17.0</v>
      </c>
      <c r="F21" s="7">
        <f t="shared" si="2"/>
        <v>17</v>
      </c>
      <c r="G21" s="3"/>
      <c r="H21" s="3" t="s">
        <v>57</v>
      </c>
    </row>
    <row r="22">
      <c r="A22" s="3" t="s">
        <v>52</v>
      </c>
      <c r="B22" s="3" t="s">
        <v>58</v>
      </c>
      <c r="C22" s="8">
        <v>6.0</v>
      </c>
      <c r="D22" s="5" t="s">
        <v>59</v>
      </c>
      <c r="E22" s="6">
        <v>1.0</v>
      </c>
      <c r="F22" s="7">
        <f t="shared" si="2"/>
        <v>6</v>
      </c>
      <c r="G22" s="3"/>
      <c r="H22" s="3" t="s">
        <v>60</v>
      </c>
    </row>
    <row r="23" ht="15.75" customHeight="1">
      <c r="A23" s="3" t="s">
        <v>52</v>
      </c>
      <c r="B23" s="3" t="s">
        <v>61</v>
      </c>
      <c r="C23" s="4">
        <v>12.0</v>
      </c>
      <c r="D23" s="3" t="s">
        <v>15</v>
      </c>
      <c r="E23" s="7">
        <v>0.85</v>
      </c>
      <c r="F23" s="7">
        <f t="shared" si="2"/>
        <v>10.2</v>
      </c>
      <c r="G23" s="3" t="s">
        <v>62</v>
      </c>
      <c r="H23" s="3" t="s">
        <v>63</v>
      </c>
    </row>
    <row r="24" ht="15.75" customHeight="1">
      <c r="A24" s="3" t="s">
        <v>52</v>
      </c>
      <c r="B24" s="3" t="s">
        <v>64</v>
      </c>
      <c r="C24" s="8">
        <v>8.0</v>
      </c>
      <c r="D24" s="5" t="s">
        <v>59</v>
      </c>
      <c r="E24" s="6">
        <v>2.0</v>
      </c>
      <c r="F24" s="7">
        <f t="shared" si="2"/>
        <v>16</v>
      </c>
      <c r="G24" s="3" t="s">
        <v>65</v>
      </c>
      <c r="H24" s="3" t="s">
        <v>66</v>
      </c>
    </row>
    <row r="25" ht="15.75" customHeight="1">
      <c r="A25" s="3" t="s">
        <v>52</v>
      </c>
      <c r="B25" s="3" t="s">
        <v>67</v>
      </c>
      <c r="C25" s="4">
        <v>8.0</v>
      </c>
      <c r="D25" s="3" t="s">
        <v>15</v>
      </c>
      <c r="E25" s="7">
        <v>1.1</v>
      </c>
      <c r="F25" s="7">
        <f t="shared" si="2"/>
        <v>8.8</v>
      </c>
      <c r="G25" s="3" t="s">
        <v>68</v>
      </c>
      <c r="H25" s="3" t="s">
        <v>69</v>
      </c>
    </row>
    <row r="26" ht="15.75" customHeight="1">
      <c r="A26" s="3" t="s">
        <v>52</v>
      </c>
      <c r="B26" s="3" t="s">
        <v>70</v>
      </c>
      <c r="C26" s="4">
        <v>1.0</v>
      </c>
      <c r="D26" s="3" t="s">
        <v>15</v>
      </c>
      <c r="E26" s="7">
        <v>24.0</v>
      </c>
      <c r="F26" s="7">
        <f t="shared" si="2"/>
        <v>24</v>
      </c>
      <c r="G26" s="3"/>
      <c r="H26" s="3" t="s">
        <v>71</v>
      </c>
    </row>
    <row r="27" ht="15.75" customHeight="1">
      <c r="A27" s="3" t="s">
        <v>72</v>
      </c>
      <c r="B27" s="3" t="s">
        <v>73</v>
      </c>
      <c r="C27" s="4">
        <v>3.0</v>
      </c>
      <c r="D27" s="3" t="s">
        <v>15</v>
      </c>
      <c r="E27" s="6">
        <v>25.0</v>
      </c>
      <c r="F27" s="7">
        <f t="shared" si="2"/>
        <v>75</v>
      </c>
      <c r="G27" s="3" t="s">
        <v>74</v>
      </c>
      <c r="H27" s="3" t="s">
        <v>75</v>
      </c>
    </row>
    <row r="28" ht="15.75" customHeight="1">
      <c r="A28" s="3" t="s">
        <v>72</v>
      </c>
      <c r="B28" s="3" t="s">
        <v>76</v>
      </c>
      <c r="C28" s="4">
        <v>3.0</v>
      </c>
      <c r="D28" s="3" t="s">
        <v>15</v>
      </c>
      <c r="E28" s="6">
        <v>55.0</v>
      </c>
      <c r="F28" s="7">
        <f t="shared" si="2"/>
        <v>165</v>
      </c>
      <c r="G28" s="3" t="s">
        <v>77</v>
      </c>
      <c r="H28" s="5" t="s">
        <v>78</v>
      </c>
    </row>
    <row r="29" ht="15.75" customHeight="1">
      <c r="A29" s="3" t="s">
        <v>72</v>
      </c>
      <c r="B29" s="3" t="s">
        <v>79</v>
      </c>
      <c r="C29" s="4">
        <v>3.0</v>
      </c>
      <c r="D29" s="3" t="s">
        <v>15</v>
      </c>
      <c r="E29" s="6">
        <v>2.0</v>
      </c>
      <c r="F29" s="7">
        <f t="shared" si="2"/>
        <v>6</v>
      </c>
      <c r="G29" s="3" t="s">
        <v>80</v>
      </c>
      <c r="H29" s="3"/>
    </row>
    <row r="30" ht="15.75" customHeight="1">
      <c r="A30" s="3" t="s">
        <v>72</v>
      </c>
      <c r="B30" s="3" t="s">
        <v>81</v>
      </c>
      <c r="C30" s="4">
        <v>6.0</v>
      </c>
      <c r="D30" s="3" t="s">
        <v>15</v>
      </c>
      <c r="E30" s="6">
        <v>80.0</v>
      </c>
      <c r="F30" s="7">
        <f t="shared" si="2"/>
        <v>480</v>
      </c>
      <c r="G30" s="3" t="s">
        <v>82</v>
      </c>
      <c r="H30" s="5" t="s">
        <v>83</v>
      </c>
    </row>
    <row r="31" ht="15.75" customHeight="1">
      <c r="A31" s="3" t="s">
        <v>72</v>
      </c>
      <c r="B31" s="3" t="s">
        <v>84</v>
      </c>
      <c r="C31" s="4">
        <v>6.0</v>
      </c>
      <c r="D31" s="3" t="s">
        <v>15</v>
      </c>
      <c r="E31" s="6">
        <v>2.0</v>
      </c>
      <c r="F31" s="7">
        <f t="shared" si="2"/>
        <v>12</v>
      </c>
      <c r="G31" s="3" t="s">
        <v>80</v>
      </c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9" t="s">
        <v>85</v>
      </c>
      <c r="F33" s="10">
        <f>SUM(F3:F31)</f>
        <v>2349.06</v>
      </c>
      <c r="G33" s="3"/>
      <c r="H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2026-04-04T18:59:25Z</dcterms:created>
  <dc:creator>openpyxl</dc:creator>
</cp:coreProperties>
</file>